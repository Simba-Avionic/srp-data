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zLyjhfr1Uf0TQRnJJNElz4s+QJI52H5Z5RYQvfoMizI="/>
    </ext>
  </extLst>
</workbook>
</file>

<file path=xl/sharedStrings.xml><?xml version="1.0" encoding="utf-8"?>
<sst xmlns="http://schemas.openxmlformats.org/spreadsheetml/2006/main" count="19" uniqueCount="15">
  <si>
    <t>notatki</t>
  </si>
  <si>
    <t>dane z logów</t>
  </si>
  <si>
    <t>tarowanie</t>
  </si>
  <si>
    <t>dane po kalibracji</t>
  </si>
  <si>
    <t>x - kg</t>
  </si>
  <si>
    <t>y</t>
  </si>
  <si>
    <t>x - dane z tenso</t>
  </si>
  <si>
    <t>y - kg</t>
  </si>
  <si>
    <t>przed</t>
  </si>
  <si>
    <t>po</t>
  </si>
  <si>
    <t>wsp_b</t>
  </si>
  <si>
    <t>wsp wyznaczony metodą najmniejszych kwadratów</t>
  </si>
  <si>
    <t>&lt;---- najwaznieszje z tego arkusza</t>
  </si>
  <si>
    <t>x - dane po tarowaniu</t>
  </si>
  <si>
    <t>wsp_a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</si>
</sst>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&quot;gg sans&quot;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y a 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Arkusz1!$C$3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Arkusz1!$B$4:$B$11</c:f>
            </c:strRef>
          </c:cat>
          <c:val>
            <c:numRef>
              <c:f>Arkusz1!$C$4:$C$11</c:f>
              <c:numCache/>
            </c:numRef>
          </c:val>
          <c:smooth val="0"/>
        </c:ser>
        <c:axId val="426527449"/>
        <c:axId val="1438376958"/>
      </c:lineChart>
      <c:catAx>
        <c:axId val="4265274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8376958"/>
      </c:catAx>
      <c:valAx>
        <c:axId val="1438376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265274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tarowanie a notatki/x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Arkusz1!$B$5:$B$11</c:f>
            </c:strRef>
          </c:cat>
          <c:val>
            <c:numRef>
              <c:f>Arkusz1!$E$5:$E$11</c:f>
              <c:numCache/>
            </c:numRef>
          </c:val>
          <c:smooth val="0"/>
        </c:ser>
        <c:axId val="2139537833"/>
        <c:axId val="484137663"/>
      </c:lineChart>
      <c:catAx>
        <c:axId val="2139537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notatki/x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84137663"/>
      </c:catAx>
      <c:valAx>
        <c:axId val="4841376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tarowanie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13953783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1</xdr:row>
      <xdr:rowOff>95250</xdr:rowOff>
    </xdr:from>
    <xdr:ext cx="5715000" cy="3533775"/>
    <xdr:graphicFrame>
      <xdr:nvGraphicFramePr>
        <xdr:cNvPr id="746509733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38100</xdr:colOff>
      <xdr:row>18</xdr:row>
      <xdr:rowOff>85725</xdr:rowOff>
    </xdr:from>
    <xdr:ext cx="5715000" cy="3533775"/>
    <xdr:graphicFrame>
      <xdr:nvGraphicFramePr>
        <xdr:cNvPr id="94910613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1" t="s">
        <v>0</v>
      </c>
      <c r="C2" s="1" t="s">
        <v>0</v>
      </c>
      <c r="D2" s="1" t="s">
        <v>1</v>
      </c>
      <c r="E2" s="1" t="s">
        <v>2</v>
      </c>
      <c r="G2" s="1" t="s">
        <v>3</v>
      </c>
      <c r="H2" s="1" t="s">
        <v>3</v>
      </c>
    </row>
    <row r="3" ht="15.75" customHeight="1">
      <c r="B3" s="1" t="s">
        <v>4</v>
      </c>
      <c r="C3" s="1" t="s">
        <v>5</v>
      </c>
      <c r="D3" s="1" t="s">
        <v>5</v>
      </c>
      <c r="G3" s="2" t="s">
        <v>6</v>
      </c>
      <c r="H3" s="2" t="s">
        <v>7</v>
      </c>
    </row>
    <row r="4" ht="15.75" customHeight="1">
      <c r="A4" s="1" t="s">
        <v>8</v>
      </c>
      <c r="B4" s="3">
        <v>0.0</v>
      </c>
      <c r="C4" s="4">
        <v>-650.0</v>
      </c>
      <c r="D4" s="1">
        <v>-675.0</v>
      </c>
      <c r="G4" s="5">
        <f>-675+666</f>
        <v>-9</v>
      </c>
      <c r="H4" s="6">
        <f t="shared" ref="H4:H11" si="1">G4*$B$25</f>
        <v>-0.4069650371</v>
      </c>
    </row>
    <row r="5" ht="15.75" customHeight="1">
      <c r="A5" s="1" t="s">
        <v>9</v>
      </c>
      <c r="B5" s="3">
        <v>0.0</v>
      </c>
      <c r="C5" s="3">
        <v>-650.0</v>
      </c>
      <c r="D5" s="1">
        <v>-666.0</v>
      </c>
      <c r="E5" s="1">
        <f t="shared" ref="E5:E11" si="2">D5-$B$14</f>
        <v>0</v>
      </c>
      <c r="G5" s="7">
        <v>0.0</v>
      </c>
      <c r="H5" s="6">
        <f t="shared" si="1"/>
        <v>0</v>
      </c>
      <c r="I5" s="1">
        <f t="shared" ref="I5:I11" si="3">E5*B5</f>
        <v>0</v>
      </c>
      <c r="J5" s="1">
        <f t="shared" ref="J5:J11" si="4">E5*E5</f>
        <v>0</v>
      </c>
    </row>
    <row r="6" ht="15.75" customHeight="1">
      <c r="B6" s="3">
        <v>97.0</v>
      </c>
      <c r="C6" s="3">
        <v>1450.0</v>
      </c>
      <c r="D6" s="1">
        <v>1461.0</v>
      </c>
      <c r="E6" s="1">
        <f t="shared" si="2"/>
        <v>2127</v>
      </c>
      <c r="G6" s="7">
        <v>2127.0</v>
      </c>
      <c r="H6" s="6">
        <f t="shared" si="1"/>
        <v>96.17940376</v>
      </c>
      <c r="I6" s="1">
        <f t="shared" si="3"/>
        <v>206319</v>
      </c>
      <c r="J6" s="1">
        <f t="shared" si="4"/>
        <v>4524129</v>
      </c>
    </row>
    <row r="7" ht="15.75" customHeight="1">
      <c r="B7" s="3">
        <v>197.0</v>
      </c>
      <c r="C7" s="3">
        <v>3600.0</v>
      </c>
      <c r="D7" s="1">
        <v>3607.0</v>
      </c>
      <c r="E7" s="1">
        <f t="shared" si="2"/>
        <v>4273</v>
      </c>
      <c r="G7" s="7">
        <v>4273.0</v>
      </c>
      <c r="H7" s="6">
        <f t="shared" si="1"/>
        <v>193.2179559</v>
      </c>
      <c r="I7" s="1">
        <f t="shared" si="3"/>
        <v>841781</v>
      </c>
      <c r="J7" s="1">
        <f t="shared" si="4"/>
        <v>18258529</v>
      </c>
    </row>
    <row r="8" ht="15.75" customHeight="1">
      <c r="B8" s="3">
        <v>299.0</v>
      </c>
      <c r="C8" s="3">
        <v>5900.0</v>
      </c>
      <c r="D8" s="1">
        <v>5925.0</v>
      </c>
      <c r="E8" s="1">
        <f t="shared" si="2"/>
        <v>6591</v>
      </c>
      <c r="G8" s="7">
        <v>6591.0</v>
      </c>
      <c r="H8" s="6">
        <f t="shared" si="1"/>
        <v>298.0340622</v>
      </c>
      <c r="I8" s="1">
        <f t="shared" si="3"/>
        <v>1970709</v>
      </c>
      <c r="J8" s="1">
        <f t="shared" si="4"/>
        <v>43441281</v>
      </c>
    </row>
    <row r="9" ht="15.75" customHeight="1">
      <c r="B9" s="3">
        <v>396.0</v>
      </c>
      <c r="C9" s="3">
        <v>8000.0</v>
      </c>
      <c r="D9" s="1">
        <v>8073.0</v>
      </c>
      <c r="E9" s="1">
        <f t="shared" si="2"/>
        <v>8739</v>
      </c>
      <c r="G9" s="7">
        <v>8739.0</v>
      </c>
      <c r="H9" s="6">
        <f t="shared" si="1"/>
        <v>395.163051</v>
      </c>
      <c r="I9" s="1">
        <f t="shared" si="3"/>
        <v>3460644</v>
      </c>
      <c r="J9" s="1">
        <f t="shared" si="4"/>
        <v>76370121</v>
      </c>
    </row>
    <row r="10" ht="15.75" customHeight="1">
      <c r="B10" s="3">
        <v>490.0</v>
      </c>
      <c r="C10" s="3">
        <v>10100.0</v>
      </c>
      <c r="D10" s="1">
        <v>10157.0</v>
      </c>
      <c r="E10" s="1">
        <f t="shared" si="2"/>
        <v>10823</v>
      </c>
      <c r="G10" s="7">
        <v>10823.0</v>
      </c>
      <c r="H10" s="6">
        <f t="shared" si="1"/>
        <v>489.3980663</v>
      </c>
      <c r="I10" s="1">
        <f t="shared" si="3"/>
        <v>5303270</v>
      </c>
      <c r="J10" s="1">
        <f t="shared" si="4"/>
        <v>117137329</v>
      </c>
    </row>
    <row r="11" ht="15.75" customHeight="1">
      <c r="B11" s="3">
        <v>569.0</v>
      </c>
      <c r="C11" s="3">
        <v>12000.0</v>
      </c>
      <c r="D11" s="1">
        <v>11984.0</v>
      </c>
      <c r="E11" s="1">
        <f t="shared" si="2"/>
        <v>12650</v>
      </c>
      <c r="G11" s="8">
        <v>12650.0</v>
      </c>
      <c r="H11" s="9">
        <f t="shared" si="1"/>
        <v>572.0119688</v>
      </c>
      <c r="I11" s="1">
        <f t="shared" si="3"/>
        <v>7197850</v>
      </c>
      <c r="J11" s="1">
        <f t="shared" si="4"/>
        <v>160022500</v>
      </c>
    </row>
    <row r="12" ht="15.75" customHeight="1">
      <c r="G12" s="1">
        <f>B11/G11</f>
        <v>0.04498023715</v>
      </c>
    </row>
    <row r="13" ht="15.75" customHeight="1">
      <c r="I13" s="1">
        <f t="shared" ref="I13:J13" si="5">SUM(I5:I11)</f>
        <v>18980573</v>
      </c>
      <c r="J13" s="1">
        <f t="shared" si="5"/>
        <v>419753889</v>
      </c>
    </row>
    <row r="14" ht="15.75" customHeight="1">
      <c r="A14" s="1" t="s">
        <v>10</v>
      </c>
      <c r="B14" s="1">
        <f>D5</f>
        <v>-666</v>
      </c>
    </row>
    <row r="15" ht="15.75" customHeight="1">
      <c r="I15" s="10" t="s">
        <v>11</v>
      </c>
      <c r="J15" s="2">
        <f>I13/J13</f>
        <v>0.04521833745</v>
      </c>
      <c r="K15" s="10" t="s">
        <v>12</v>
      </c>
    </row>
    <row r="16" ht="15.75" customHeight="1">
      <c r="B16" s="1" t="s">
        <v>7</v>
      </c>
      <c r="C16" s="1" t="s">
        <v>13</v>
      </c>
    </row>
    <row r="17" ht="15.75" customHeight="1">
      <c r="B17" s="1">
        <v>0.0</v>
      </c>
      <c r="C17" s="1">
        <v>0.0</v>
      </c>
    </row>
    <row r="18" ht="15.75" customHeight="1">
      <c r="B18" s="1">
        <v>97.0</v>
      </c>
      <c r="C18" s="1">
        <v>2127.0</v>
      </c>
    </row>
    <row r="19" ht="15.75" customHeight="1">
      <c r="B19" s="1">
        <v>197.0</v>
      </c>
      <c r="C19" s="1">
        <v>4273.0</v>
      </c>
    </row>
    <row r="20" ht="15.75" customHeight="1">
      <c r="B20" s="1">
        <v>299.0</v>
      </c>
      <c r="C20" s="1">
        <v>6591.0</v>
      </c>
    </row>
    <row r="21" ht="15.75" customHeight="1">
      <c r="B21" s="1">
        <v>396.0</v>
      </c>
      <c r="C21" s="1">
        <v>8739.0</v>
      </c>
    </row>
    <row r="22" ht="15.75" customHeight="1">
      <c r="B22" s="1">
        <v>490.0</v>
      </c>
      <c r="C22" s="1">
        <v>10823.0</v>
      </c>
    </row>
    <row r="23" ht="15.75" customHeight="1">
      <c r="B23" s="1">
        <v>569.0</v>
      </c>
      <c r="C23" s="1">
        <v>12650.0</v>
      </c>
    </row>
    <row r="24" ht="15.75" customHeight="1"/>
    <row r="25" ht="15.75" customHeight="1">
      <c r="A25" s="1" t="s">
        <v>14</v>
      </c>
      <c r="B25" s="1">
        <v>0.045218337452973545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